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 Log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LA Reference" sheetId="3" state="visible" r:id="rId3"/>
  </sheets>
  <definedNames>
    <definedName name="_xlnm._FilterDatabase" localSheetId="0" hidden="1">'CR Log'!$A$1:$Q$5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374151"/>
      <sz val="10"/>
    </font>
    <font>
      <name val="Arial"/>
      <b val="1"/>
      <color rgb="00581C87"/>
      <sz val="16"/>
    </font>
    <font>
      <name val="Arial"/>
      <b val="1"/>
      <color rgb="007C3AED"/>
      <sz val="9"/>
    </font>
    <font>
      <name val="Arial"/>
      <b val="1"/>
      <color rgb="00581C87"/>
      <sz val="14"/>
    </font>
    <font>
      <name val="Arial"/>
      <b val="1"/>
      <color rgb="00581C87"/>
      <sz val="12"/>
    </font>
    <font>
      <name val="Arial"/>
      <b val="1"/>
      <color rgb="00581C87"/>
      <sz val="11"/>
    </font>
  </fonts>
  <fills count="7">
    <fill>
      <patternFill/>
    </fill>
    <fill>
      <patternFill patternType="gray125"/>
    </fill>
    <fill>
      <patternFill patternType="solid">
        <fgColor rgb="00581C87"/>
      </patternFill>
    </fill>
    <fill>
      <patternFill patternType="solid">
        <fgColor rgb="00F3F4F6"/>
      </patternFill>
    </fill>
    <fill>
      <patternFill patternType="solid">
        <fgColor rgb="00FFFFFF"/>
      </patternFill>
    </fill>
    <fill>
      <patternFill patternType="solid">
        <fgColor rgb="00EDE9FE"/>
      </patternFill>
    </fill>
    <fill>
      <patternFill patternType="solid">
        <fgColor rgb="000596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1" fontId="2" fillId="4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2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81C87"/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6" customWidth="1" min="4" max="4"/>
    <col width="35" customWidth="1" min="5" max="5"/>
    <col width="18" customWidth="1" min="6" max="6"/>
    <col width="12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0" customWidth="1" min="15" max="15"/>
    <col width="16" customWidth="1" min="16" max="16"/>
    <col width="30" customWidth="1" min="17" max="17"/>
  </cols>
  <sheetData>
    <row r="1">
      <c r="A1" s="1" t="inlineStr">
        <is>
          <t>CR ID</t>
        </is>
      </c>
      <c r="B1" s="1" t="inlineStr">
        <is>
          <t>Date Submitted</t>
        </is>
      </c>
      <c r="C1" s="1" t="inlineStr">
        <is>
          <t>Client Name</t>
        </is>
      </c>
      <c r="D1" s="1" t="inlineStr">
        <is>
          <t>Submitted By</t>
        </is>
      </c>
      <c r="E1" s="1" t="inlineStr">
        <is>
          <t>Description</t>
        </is>
      </c>
      <c r="F1" s="1" t="inlineStr">
        <is>
          <t>Category</t>
        </is>
      </c>
      <c r="G1" s="1" t="inlineStr">
        <is>
          <t>Severity</t>
        </is>
      </c>
      <c r="H1" s="1" t="inlineStr">
        <is>
          <t>Status</t>
        </is>
      </c>
      <c r="I1" s="1" t="inlineStr">
        <is>
          <t>Assigned To</t>
        </is>
      </c>
      <c r="J1" s="1" t="inlineStr">
        <is>
          <t>Quote (NIS)</t>
        </is>
      </c>
      <c r="K1" s="1" t="inlineStr">
        <is>
          <t>Approved Date</t>
        </is>
      </c>
      <c r="L1" s="1" t="inlineStr">
        <is>
          <t>Delivered Date</t>
        </is>
      </c>
      <c r="M1" s="1" t="inlineStr">
        <is>
          <t>Closed Date</t>
        </is>
      </c>
      <c r="N1" s="1" t="inlineStr">
        <is>
          <t>Resolution Days</t>
        </is>
      </c>
      <c r="O1" s="1" t="inlineStr">
        <is>
          <t>Billable?</t>
        </is>
      </c>
      <c r="P1" s="1" t="inlineStr">
        <is>
          <t>Amount Billed (NIS)</t>
        </is>
      </c>
      <c r="Q1" s="1" t="inlineStr">
        <is>
          <t>Notes</t>
        </is>
      </c>
    </row>
    <row r="2">
      <c r="A2" s="2" t="inlineStr">
        <is>
          <t>CR-001</t>
        </is>
      </c>
      <c r="B2" s="2" t="inlineStr">
        <is>
          <t>2026-07-10</t>
        </is>
      </c>
      <c r="C2" s="3" t="inlineStr">
        <is>
          <t>Giliguli</t>
        </is>
      </c>
      <c r="D2" s="3" t="inlineStr">
        <is>
          <t>Eden David</t>
        </is>
      </c>
      <c r="E2" s="3" t="inlineStr">
        <is>
          <t>Change date format on revenue chart from DD/MM to MM/YYYY</t>
        </is>
      </c>
      <c r="F2" s="2" t="inlineStr">
        <is>
          <t>Minor Adjustment</t>
        </is>
      </c>
      <c r="G2" s="2" t="inlineStr">
        <is>
          <t>P4 - Low</t>
        </is>
      </c>
      <c r="H2" s="2" t="inlineStr">
        <is>
          <t>Closed</t>
        </is>
      </c>
      <c r="I2" s="2" t="inlineStr">
        <is>
          <t>Arye</t>
        </is>
      </c>
      <c r="J2" s="3" t="inlineStr"/>
      <c r="K2" s="2" t="inlineStr">
        <is>
          <t>2026-07-10</t>
        </is>
      </c>
      <c r="L2" s="2" t="inlineStr">
        <is>
          <t>2026-07-10</t>
        </is>
      </c>
      <c r="M2" s="2" t="inlineStr">
        <is>
          <t>2026-07-10</t>
        </is>
      </c>
      <c r="N2" s="4">
        <f>IF(AND(M2&lt;&gt;"",B2&lt;&gt;""),M2-B2,"")</f>
        <v/>
      </c>
      <c r="O2" s="2" t="inlineStr">
        <is>
          <t>No</t>
        </is>
      </c>
      <c r="P2" s="3" t="inlineStr"/>
      <c r="Q2" s="3" t="inlineStr">
        <is>
          <t>Quick fix, 10 min</t>
        </is>
      </c>
    </row>
    <row r="3">
      <c r="A3" s="5" t="inlineStr">
        <is>
          <t>CR-002</t>
        </is>
      </c>
      <c r="B3" s="5" t="inlineStr">
        <is>
          <t>2026-07-12</t>
        </is>
      </c>
      <c r="C3" s="6" t="inlineStr">
        <is>
          <t>Studio Flex</t>
        </is>
      </c>
      <c r="D3" s="6" t="inlineStr">
        <is>
          <t>Yael Cohen</t>
        </is>
      </c>
      <c r="E3" s="6" t="inlineStr">
        <is>
          <t>Add class utilization heatmap by day/hour</t>
        </is>
      </c>
      <c r="F3" s="5" t="inlineStr">
        <is>
          <t>KPI / Data Change</t>
        </is>
      </c>
      <c r="G3" s="5" t="inlineStr">
        <is>
          <t>P3 - Medium</t>
        </is>
      </c>
      <c r="H3" s="5" t="inlineStr">
        <is>
          <t>Delivered</t>
        </is>
      </c>
      <c r="I3" s="5" t="inlineStr">
        <is>
          <t>Arye</t>
        </is>
      </c>
      <c r="J3" s="6" t="inlineStr"/>
      <c r="K3" s="5" t="inlineStr">
        <is>
          <t>2026-07-12</t>
        </is>
      </c>
      <c r="L3" s="5" t="inlineStr">
        <is>
          <t>2026-07-15</t>
        </is>
      </c>
      <c r="M3" s="5" t="inlineStr"/>
      <c r="N3" s="7">
        <f>IF(AND(M3&lt;&gt;"",B3&lt;&gt;""),M3-B3,"")</f>
        <v/>
      </c>
      <c r="O3" s="5" t="inlineStr">
        <is>
          <t>No</t>
        </is>
      </c>
      <c r="P3" s="6" t="inlineStr"/>
      <c r="Q3" s="6" t="inlineStr">
        <is>
          <t>Within monthly quota</t>
        </is>
      </c>
    </row>
    <row r="4">
      <c r="A4" s="2" t="inlineStr">
        <is>
          <t>CR-003</t>
        </is>
      </c>
      <c r="B4" s="2" t="inlineStr">
        <is>
          <t>2026-07-14</t>
        </is>
      </c>
      <c r="C4" s="3" t="inlineStr">
        <is>
          <t>Giliguli</t>
        </is>
      </c>
      <c r="D4" s="3" t="inlineStr">
        <is>
          <t>Eden David</t>
        </is>
      </c>
      <c r="E4" s="3" t="inlineStr">
        <is>
          <t>Add automated weekly email report with KPI summary</t>
        </is>
      </c>
      <c r="F4" s="2" t="inlineStr">
        <is>
          <t>Feature Addition</t>
        </is>
      </c>
      <c r="G4" s="2" t="inlineStr">
        <is>
          <t>P4 - Low</t>
        </is>
      </c>
      <c r="H4" s="2" t="inlineStr">
        <is>
          <t>Quoted</t>
        </is>
      </c>
      <c r="I4" s="2" t="inlineStr">
        <is>
          <t>Ofir</t>
        </is>
      </c>
      <c r="J4" s="3" t="n">
        <v>800</v>
      </c>
      <c r="K4" s="2" t="inlineStr"/>
      <c r="L4" s="2" t="inlineStr"/>
      <c r="M4" s="2" t="inlineStr"/>
      <c r="N4" s="4">
        <f>IF(AND(M4&lt;&gt;"",B4&lt;&gt;""),M4-B4,"")</f>
        <v/>
      </c>
      <c r="O4" s="2" t="inlineStr">
        <is>
          <t>Yes</t>
        </is>
      </c>
      <c r="P4" s="3" t="inlineStr"/>
      <c r="Q4" s="3" t="inlineStr">
        <is>
          <t>Quote sent, awaiting approval</t>
        </is>
      </c>
    </row>
    <row r="5">
      <c r="A5" s="5" t="inlineStr">
        <is>
          <t>CR-004</t>
        </is>
      </c>
      <c r="B5" s="5" t="inlineStr">
        <is>
          <t>2026-07-15</t>
        </is>
      </c>
      <c r="C5" s="6" t="inlineStr">
        <is>
          <t>Tech Solutions Ltd</t>
        </is>
      </c>
      <c r="D5" s="6" t="inlineStr">
        <is>
          <t>Moshe Levy</t>
        </is>
      </c>
      <c r="E5" s="6" t="inlineStr">
        <is>
          <t>Dashboard not loading - API connection timeout</t>
        </is>
      </c>
      <c r="F5" s="5" t="inlineStr">
        <is>
          <t>Minor Adjustment</t>
        </is>
      </c>
      <c r="G5" s="5" t="inlineStr">
        <is>
          <t>P1 - Critical</t>
        </is>
      </c>
      <c r="H5" s="5" t="inlineStr">
        <is>
          <t>In Progress</t>
        </is>
      </c>
      <c r="I5" s="5" t="inlineStr">
        <is>
          <t>Arye</t>
        </is>
      </c>
      <c r="J5" s="6" t="inlineStr"/>
      <c r="K5" s="5" t="inlineStr">
        <is>
          <t>2026-07-15</t>
        </is>
      </c>
      <c r="L5" s="5" t="inlineStr"/>
      <c r="M5" s="5" t="inlineStr"/>
      <c r="N5" s="7">
        <f>IF(AND(M5&lt;&gt;"",B5&lt;&gt;""),M5-B5,"")</f>
        <v/>
      </c>
      <c r="O5" s="5" t="inlineStr">
        <is>
          <t>No</t>
        </is>
      </c>
      <c r="P5" s="6" t="inlineStr"/>
      <c r="Q5" s="6" t="inlineStr">
        <is>
          <t>Scalla API intermittent issue</t>
        </is>
      </c>
    </row>
  </sheetData>
  <autoFilter ref="A1:Q5"/>
  <dataValidations count="5">
    <dataValidation sqref="F2:F500" showDropDown="0" showInputMessage="0" showErrorMessage="0" allowBlank="1" errorTitle="Invalid Category" error="Select a valid category" type="list">
      <formula1>"Minor Adjustment,KPI / Data Change,Feature Addition,Structural Rebuild"</formula1>
    </dataValidation>
    <dataValidation sqref="G2:G500" showDropDown="0" showInputMessage="0" showErrorMessage="0" allowBlank="1" type="list">
      <formula1>"P1 - Critical,P2 - High,P3 - Medium,P4 - Low"</formula1>
    </dataValidation>
    <dataValidation sqref="H2:H500" showDropDown="0" showInputMessage="0" showErrorMessage="0" allowBlank="1" type="list">
      <formula1>"Submitted,Triaged,Quoted,Approved,In Progress,Delivered,Closed,Cancelled,Rejected"</formula1>
    </dataValidation>
    <dataValidation sqref="I2:I500" showDropDown="0" showInputMessage="0" showErrorMessage="0" allowBlank="1" type="list">
      <formula1>"Ofir,Arye,Meital"</formula1>
    </dataValidation>
    <dataValidation sqref="O2:O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C3AED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CR Management Dashboard</t>
        </is>
      </c>
    </row>
    <row r="3">
      <c r="A3" s="9" t="inlineStr">
        <is>
          <t>Total CRs</t>
        </is>
      </c>
      <c r="B3" s="9" t="inlineStr">
        <is>
          <t>Open CRs</t>
        </is>
      </c>
      <c r="C3" s="9" t="inlineStr">
        <is>
          <t>Avg Resolution (days)</t>
        </is>
      </c>
      <c r="D3" s="9" t="inlineStr">
        <is>
          <t>Billable Revenue (NIS)</t>
        </is>
      </c>
      <c r="E3" s="9" t="inlineStr">
        <is>
          <t>CRs This Month</t>
        </is>
      </c>
      <c r="F3" s="9" t="inlineStr">
        <is>
          <t>SLA Compliance %</t>
        </is>
      </c>
    </row>
    <row r="4">
      <c r="A4" s="10">
        <f>COUNTA('CR Log'!A2:A500)</f>
        <v/>
      </c>
      <c r="B4" s="10">
        <f>COUNTIFS('CR Log'!H2:H500,"&lt;&gt;Closed",'CR Log'!H2:H500,"&lt;&gt;Cancelled",'CR Log'!H2:H500,"&lt;&gt;Rejected",'CR Log'!H2:H500,"&lt;&gt;")</f>
        <v/>
      </c>
      <c r="C4" s="11">
        <f>IFERROR(AVERAGE('CR Log'!N2:N500),0)</f>
        <v/>
      </c>
      <c r="D4" s="12">
        <f>SUMIF('CR Log'!O2:O500,"Yes",'CR Log'!P2:P500)</f>
        <v/>
      </c>
      <c r="E4" s="10">
        <f>COUNTIFS('CR Log'!B2:B500,"&gt;="&amp;DATE(YEAR(TODAY()),MONTH(TODAY()),1),'CR Log'!B2:B500,"&lt;&gt;")</f>
        <v/>
      </c>
      <c r="F4" s="11">
        <f>IFERROR(COUNTIFS('CR Log'!H2:H500,"Closed",'CR Log'!N2:N500,"&lt;="&amp;5)/COUNTIF('CR Log'!H2:H500,"Closed")*100,0)</f>
        <v/>
      </c>
    </row>
    <row r="6">
      <c r="A6" s="13" t="inlineStr">
        <is>
          <t>By Category</t>
        </is>
      </c>
      <c r="D6" s="13" t="inlineStr">
        <is>
          <t>By Status</t>
        </is>
      </c>
    </row>
    <row r="7">
      <c r="A7" s="14" t="inlineStr">
        <is>
          <t>Minor Adjustment</t>
        </is>
      </c>
      <c r="B7" s="15">
        <f>COUNTIF('CR Log'!F2:F500,"Minor Adjustment")</f>
        <v/>
      </c>
      <c r="D7" s="14" t="inlineStr">
        <is>
          <t>Submitted</t>
        </is>
      </c>
      <c r="E7" s="15">
        <f>COUNTIF('CR Log'!H2:H500,"Submitted")</f>
        <v/>
      </c>
    </row>
    <row r="8">
      <c r="A8" s="14" t="inlineStr">
        <is>
          <t>KPI / Data Change</t>
        </is>
      </c>
      <c r="B8" s="15">
        <f>COUNTIF('CR Log'!F2:F500,"KPI / Data Change")</f>
        <v/>
      </c>
      <c r="D8" s="14" t="inlineStr">
        <is>
          <t>Triaged</t>
        </is>
      </c>
      <c r="E8" s="15">
        <f>COUNTIF('CR Log'!H2:H500,"Triaged")</f>
        <v/>
      </c>
    </row>
    <row r="9">
      <c r="A9" s="14" t="inlineStr">
        <is>
          <t>Feature Addition</t>
        </is>
      </c>
      <c r="B9" s="15">
        <f>COUNTIF('CR Log'!F2:F500,"Feature Addition")</f>
        <v/>
      </c>
      <c r="D9" s="14" t="inlineStr">
        <is>
          <t>Quoted</t>
        </is>
      </c>
      <c r="E9" s="15">
        <f>COUNTIF('CR Log'!H2:H500,"Quoted")</f>
        <v/>
      </c>
    </row>
    <row r="10">
      <c r="A10" s="14" t="inlineStr">
        <is>
          <t>Structural Rebuild</t>
        </is>
      </c>
      <c r="B10" s="15">
        <f>COUNTIF('CR Log'!F2:F500,"Structural Rebuild")</f>
        <v/>
      </c>
      <c r="D10" s="14" t="inlineStr">
        <is>
          <t>Approved</t>
        </is>
      </c>
      <c r="E10" s="15">
        <f>COUNTIF('CR Log'!H2:H500,"Approved")</f>
        <v/>
      </c>
    </row>
    <row r="11">
      <c r="D11" s="14" t="inlineStr">
        <is>
          <t>In Progress</t>
        </is>
      </c>
      <c r="E11" s="15">
        <f>COUNTIF('CR Log'!H2:H500,"In Progress")</f>
        <v/>
      </c>
    </row>
    <row r="12">
      <c r="D12" s="14" t="inlineStr">
        <is>
          <t>Delivered</t>
        </is>
      </c>
      <c r="E12" s="15">
        <f>COUNTIF('CR Log'!H2:H500,"Delivered")</f>
        <v/>
      </c>
    </row>
    <row r="13">
      <c r="D13" s="14" t="inlineStr">
        <is>
          <t>Closed</t>
        </is>
      </c>
      <c r="E13" s="15">
        <f>COUNTIF('CR Log'!H2:H500,"Closed")</f>
        <v/>
      </c>
    </row>
    <row r="14">
      <c r="D14" s="14" t="inlineStr">
        <is>
          <t>Cancelled</t>
        </is>
      </c>
      <c r="E14" s="15">
        <f>COUNTIF('CR Log'!H2:H500,"Cancelled")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20" customWidth="1" min="3" max="3"/>
    <col width="30" customWidth="1" min="4" max="4"/>
  </cols>
  <sheetData>
    <row r="1">
      <c r="A1" s="16" t="inlineStr">
        <is>
          <t>Severity</t>
        </is>
      </c>
      <c r="B1" s="16" t="inlineStr">
        <is>
          <t>Definition</t>
        </is>
      </c>
      <c r="C1" s="16" t="inlineStr">
        <is>
          <t>Response SLA</t>
        </is>
      </c>
      <c r="D1" s="16" t="inlineStr">
        <is>
          <t>Resolution SLA</t>
        </is>
      </c>
    </row>
    <row r="2">
      <c r="A2" s="17" t="inlineStr">
        <is>
          <t>P1 - Critical</t>
        </is>
      </c>
      <c r="B2" s="17" t="inlineStr">
        <is>
          <t>Dashboard down, data incorrect, security issue</t>
        </is>
      </c>
      <c r="C2" s="17" t="inlineStr">
        <is>
          <t>Same business day</t>
        </is>
      </c>
      <c r="D2" s="17" t="inlineStr">
        <is>
          <t>24 hours</t>
        </is>
      </c>
    </row>
    <row r="3">
      <c r="A3" s="17" t="inlineStr">
        <is>
          <t>P2 - High</t>
        </is>
      </c>
      <c r="B3" s="17" t="inlineStr">
        <is>
          <t>Major feature broken, key KPI not updating</t>
        </is>
      </c>
      <c r="C3" s="17" t="inlineStr">
        <is>
          <t>1 business day</t>
        </is>
      </c>
      <c r="D3" s="17" t="inlineStr">
        <is>
          <t>3 business days</t>
        </is>
      </c>
    </row>
    <row r="4">
      <c r="A4" s="17" t="inlineStr">
        <is>
          <t>P3 - Medium</t>
        </is>
      </c>
      <c r="B4" s="17" t="inlineStr">
        <is>
          <t>Minor feature issue, cosmetic problem</t>
        </is>
      </c>
      <c r="C4" s="17" t="inlineStr">
        <is>
          <t>2 business days</t>
        </is>
      </c>
      <c r="D4" s="17" t="inlineStr">
        <is>
          <t>5 business days</t>
        </is>
      </c>
    </row>
    <row r="5">
      <c r="A5" s="17" t="inlineStr">
        <is>
          <t>P4 - Low</t>
        </is>
      </c>
      <c r="B5" s="17" t="inlineStr">
        <is>
          <t>Enhancement request, nice-to-have</t>
        </is>
      </c>
      <c r="C5" s="17" t="inlineStr">
        <is>
          <t>3 business days</t>
        </is>
      </c>
      <c r="D5" s="17" t="inlineStr">
        <is>
          <t>Next maintenance cycle (30 days)</t>
        </is>
      </c>
    </row>
    <row r="7">
      <c r="A7" s="13" t="inlineStr">
        <is>
          <t>Pricing Reference</t>
        </is>
      </c>
    </row>
    <row r="8">
      <c r="A8" s="1" t="inlineStr">
        <is>
          <t>Category</t>
        </is>
      </c>
      <c r="B8" s="1" t="inlineStr">
        <is>
          <t>Pricing Rule</t>
        </is>
      </c>
    </row>
    <row r="9">
      <c r="A9" s="17" t="inlineStr">
        <is>
          <t>Minor Adjustment</t>
        </is>
      </c>
      <c r="B9" s="17" t="inlineStr">
        <is>
          <t>Included in monthly maintenance (unlimited)</t>
        </is>
      </c>
    </row>
    <row r="10">
      <c r="A10" s="17" t="inlineStr">
        <is>
          <t>KPI / Data Change</t>
        </is>
      </c>
      <c r="B10" s="17" t="inlineStr">
        <is>
          <t>2/month included; 200 NIS each beyond quota</t>
        </is>
      </c>
    </row>
    <row r="11">
      <c r="A11" s="17" t="inlineStr">
        <is>
          <t>Feature Addition</t>
        </is>
      </c>
      <c r="B11" s="17" t="inlineStr">
        <is>
          <t>Quoted individually (typically 500-1,500 NIS)</t>
        </is>
      </c>
    </row>
    <row r="12">
      <c r="A12" s="17" t="inlineStr">
        <is>
          <t>Structural Rebuild</t>
        </is>
      </c>
      <c r="B12" s="17" t="inlineStr">
        <is>
          <t>Quoted as mini-project (typically 1,500-3,000 NIS)</t>
        </is>
      </c>
    </row>
    <row r="13">
      <c r="A13" s="17" t="inlineStr">
        <is>
          <t>Rush Delivery</t>
        </is>
      </c>
      <c r="B13" s="17" t="inlineStr">
        <is>
          <t>50% surcharge on quoted price</t>
        </is>
      </c>
    </row>
    <row r="14">
      <c r="A14" s="17" t="inlineStr">
        <is>
          <t>Pre-paid Bundle</t>
        </is>
      </c>
      <c r="B14" s="17" t="inlineStr">
        <is>
          <t>5 KPI changes for 800 NIS (20% discount)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2026-07-07T05:41:04Z</dcterms:created>
  <dcterms:modified xmlns:dcterms="http://purl.org/dc/terms/" xmlns:xsi="http://www.w3.org/2001/XMLSchema-instance" xsi:type="dcterms:W3CDTF">2026-07-07T05:41:04Z</dcterms:modified>
</cp:coreProperties>
</file>